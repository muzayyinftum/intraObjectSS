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ASCASARJANA S3\Semester 4\konferen2\"/>
    </mc:Choice>
  </mc:AlternateContent>
  <xr:revisionPtr revIDLastSave="0" documentId="13_ncr:1_{41694AA6-2F23-45E8-BB8B-4712793690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mbedding" sheetId="1" r:id="rId1"/>
    <sheet name="extracting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3" i="1"/>
  <c r="G24" i="1"/>
  <c r="F23" i="1"/>
  <c r="F24" i="1"/>
  <c r="F22" i="1"/>
  <c r="D22" i="1"/>
  <c r="D23" i="1"/>
  <c r="D24" i="1"/>
  <c r="C23" i="1"/>
  <c r="C24" i="1"/>
  <c r="C22" i="1"/>
  <c r="G9" i="1"/>
  <c r="F9" i="1"/>
  <c r="D9" i="1"/>
  <c r="C9" i="1"/>
  <c r="G7" i="1"/>
  <c r="F7" i="1"/>
  <c r="D7" i="1"/>
  <c r="C7" i="1"/>
  <c r="G6" i="1"/>
  <c r="F6" i="1"/>
  <c r="D6" i="1"/>
  <c r="C6" i="1"/>
</calcChain>
</file>

<file path=xl/sharedStrings.xml><?xml version="1.0" encoding="utf-8"?>
<sst xmlns="http://schemas.openxmlformats.org/spreadsheetml/2006/main" count="28" uniqueCount="22">
  <si>
    <t>audio sample</t>
  </si>
  <si>
    <t>interpolated</t>
  </si>
  <si>
    <t>log basis 2</t>
  </si>
  <si>
    <t>sample space</t>
  </si>
  <si>
    <t>payload</t>
  </si>
  <si>
    <t>110</t>
  </si>
  <si>
    <t>segmentation</t>
  </si>
  <si>
    <t>decimal payload</t>
  </si>
  <si>
    <t>next prime</t>
  </si>
  <si>
    <t>(n,k)</t>
  </si>
  <si>
    <t>(3,2)</t>
  </si>
  <si>
    <t>110110011101</t>
  </si>
  <si>
    <t>shares  1</t>
  </si>
  <si>
    <t>shares  2</t>
  </si>
  <si>
    <t>shares 3</t>
  </si>
  <si>
    <t>max(bit)</t>
  </si>
  <si>
    <t>max(decimal_payload)</t>
  </si>
  <si>
    <t>untuk dapat menghasilkan hasil seimbang, kita pakai nilai tengah dari next prime yaitu 11/2 = 5</t>
  </si>
  <si>
    <t>midle of prime</t>
  </si>
  <si>
    <t>shares</t>
  </si>
  <si>
    <t>ASLI</t>
  </si>
  <si>
    <t>shares - MOP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</si>
</sst>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26"/>
  <sheetViews>
    <sheetView topLeftCell="A3" zoomScale="130" zoomScaleNormal="130" workbookViewId="0">
      <selection activeCell="N25" sqref="N25"/>
    </sheetView>
  </sheetViews>
  <sheetFormatPr defaultRowHeight="14.4" x14ac:dyDescent="0.3"/>
  <cols>
    <col min="1" max="1" width="24.21875" customWidth="1"/>
    <col min="2" max="2" width="15.5546875" customWidth="1"/>
  </cols>
  <sheetData>
    <row r="3" spans="1:8" x14ac:dyDescent="0.3">
      <c r="A3" t="s">
        <v>4</v>
      </c>
      <c r="B3" s="2" t="s">
        <v>11</v>
      </c>
    </row>
    <row r="4" spans="1:8" x14ac:dyDescent="0.3">
      <c r="A4" t="s">
        <v>0</v>
      </c>
      <c r="B4">
        <v>26933</v>
      </c>
      <c r="C4">
        <v>27742</v>
      </c>
      <c r="D4">
        <v>27817</v>
      </c>
    </row>
    <row r="5" spans="1:8" x14ac:dyDescent="0.3">
      <c r="A5" t="s">
        <v>1</v>
      </c>
      <c r="B5">
        <v>26933</v>
      </c>
      <c r="C5" s="1">
        <v>27169</v>
      </c>
      <c r="D5" s="1">
        <v>27496</v>
      </c>
      <c r="E5">
        <v>27742</v>
      </c>
      <c r="F5" s="1">
        <v>27829</v>
      </c>
      <c r="G5" s="1">
        <v>27835</v>
      </c>
      <c r="H5">
        <v>27817</v>
      </c>
    </row>
    <row r="6" spans="1:8" x14ac:dyDescent="0.3">
      <c r="A6" t="s">
        <v>2</v>
      </c>
      <c r="C6">
        <f>LOG(C5,2)</f>
        <v>14.729673845308419</v>
      </c>
      <c r="D6">
        <f>LOG(D5,2)</f>
        <v>14.746934136372296</v>
      </c>
      <c r="F6">
        <f>LOG(F5,2)</f>
        <v>14.764301447724494</v>
      </c>
      <c r="G6">
        <f>LOG(G5,2)</f>
        <v>14.764612462753197</v>
      </c>
    </row>
    <row r="7" spans="1:8" x14ac:dyDescent="0.3">
      <c r="A7" t="s">
        <v>3</v>
      </c>
      <c r="C7">
        <f>SQRT(C6)</f>
        <v>3.8379257217028599</v>
      </c>
      <c r="D7">
        <f>SQRT(D6)</f>
        <v>3.8401737117443395</v>
      </c>
      <c r="F7">
        <f>SQRT(F6)</f>
        <v>3.8424343127403615</v>
      </c>
      <c r="G7">
        <f>SQRT(G6)</f>
        <v>3.842474783619692</v>
      </c>
    </row>
    <row r="8" spans="1:8" x14ac:dyDescent="0.3">
      <c r="A8" t="s">
        <v>6</v>
      </c>
      <c r="C8" s="2" t="s">
        <v>5</v>
      </c>
      <c r="D8" s="2">
        <v>110</v>
      </c>
      <c r="F8" s="2">
        <v>11</v>
      </c>
      <c r="G8" s="2">
        <v>101</v>
      </c>
    </row>
    <row r="9" spans="1:8" x14ac:dyDescent="0.3">
      <c r="A9" t="s">
        <v>7</v>
      </c>
      <c r="C9">
        <f>BIN2DEC(C8)</f>
        <v>6</v>
      </c>
      <c r="D9">
        <f>BIN2DEC(D8)</f>
        <v>6</v>
      </c>
      <c r="F9">
        <f>BIN2DEC(F8)</f>
        <v>3</v>
      </c>
      <c r="G9">
        <f>BIN2DEC(G8)</f>
        <v>5</v>
      </c>
    </row>
    <row r="10" spans="1:8" x14ac:dyDescent="0.3">
      <c r="A10" t="s">
        <v>8</v>
      </c>
      <c r="B10">
        <v>11</v>
      </c>
    </row>
    <row r="11" spans="1:8" x14ac:dyDescent="0.3">
      <c r="A11" t="s">
        <v>9</v>
      </c>
      <c r="B11" t="s">
        <v>10</v>
      </c>
    </row>
    <row r="12" spans="1:8" x14ac:dyDescent="0.3">
      <c r="A12" t="s">
        <v>12</v>
      </c>
      <c r="C12">
        <v>2</v>
      </c>
      <c r="D12">
        <v>10</v>
      </c>
      <c r="F12">
        <v>7</v>
      </c>
      <c r="G12">
        <v>0</v>
      </c>
    </row>
    <row r="13" spans="1:8" x14ac:dyDescent="0.3">
      <c r="A13" t="s">
        <v>13</v>
      </c>
      <c r="C13">
        <v>9</v>
      </c>
      <c r="D13">
        <v>3</v>
      </c>
      <c r="F13">
        <v>0</v>
      </c>
      <c r="G13">
        <v>6</v>
      </c>
    </row>
    <row r="14" spans="1:8" x14ac:dyDescent="0.3">
      <c r="A14" t="s">
        <v>14</v>
      </c>
      <c r="C14">
        <v>5</v>
      </c>
      <c r="D14">
        <v>7</v>
      </c>
      <c r="F14">
        <v>4</v>
      </c>
      <c r="G14">
        <v>1</v>
      </c>
    </row>
    <row r="16" spans="1:8" x14ac:dyDescent="0.3">
      <c r="A16" t="s">
        <v>15</v>
      </c>
      <c r="B16">
        <v>3</v>
      </c>
    </row>
    <row r="17" spans="1:19" x14ac:dyDescent="0.3">
      <c r="A17" t="s">
        <v>16</v>
      </c>
      <c r="B17">
        <v>7</v>
      </c>
    </row>
    <row r="18" spans="1:19" x14ac:dyDescent="0.3">
      <c r="A18" t="s">
        <v>8</v>
      </c>
      <c r="B18">
        <v>11</v>
      </c>
    </row>
    <row r="20" spans="1:19" x14ac:dyDescent="0.3">
      <c r="A20" t="s">
        <v>17</v>
      </c>
    </row>
    <row r="21" spans="1:19" x14ac:dyDescent="0.3">
      <c r="A21" t="s">
        <v>18</v>
      </c>
      <c r="B21">
        <v>5</v>
      </c>
    </row>
    <row r="22" spans="1:19" x14ac:dyDescent="0.3">
      <c r="A22" t="s">
        <v>21</v>
      </c>
      <c r="C22">
        <f>C12-$B$21</f>
        <v>-3</v>
      </c>
      <c r="D22">
        <f>D12-$B$21</f>
        <v>5</v>
      </c>
      <c r="F22">
        <f>F12-$B$21</f>
        <v>2</v>
      </c>
      <c r="G22">
        <f>G12-$B$21</f>
        <v>-5</v>
      </c>
    </row>
    <row r="23" spans="1:19" x14ac:dyDescent="0.3">
      <c r="C23">
        <f t="shared" ref="C23:D24" si="0">C13-$B$21</f>
        <v>4</v>
      </c>
      <c r="D23">
        <f t="shared" si="0"/>
        <v>-2</v>
      </c>
      <c r="F23">
        <f t="shared" ref="F23:G24" si="1">F13-$B$21</f>
        <v>-5</v>
      </c>
      <c r="G23">
        <f t="shared" si="1"/>
        <v>1</v>
      </c>
    </row>
    <row r="24" spans="1:19" x14ac:dyDescent="0.3">
      <c r="C24">
        <f t="shared" si="0"/>
        <v>0</v>
      </c>
      <c r="D24">
        <f t="shared" si="0"/>
        <v>2</v>
      </c>
      <c r="F24">
        <f t="shared" si="1"/>
        <v>-1</v>
      </c>
      <c r="G24">
        <f t="shared" si="1"/>
        <v>-4</v>
      </c>
    </row>
    <row r="26" spans="1:19" x14ac:dyDescent="0.3">
      <c r="A26" t="s">
        <v>19</v>
      </c>
      <c r="B26" t="s">
        <v>20</v>
      </c>
      <c r="C26" s="1">
        <v>-3</v>
      </c>
      <c r="D26" s="1">
        <v>4</v>
      </c>
      <c r="E26" t="s">
        <v>20</v>
      </c>
      <c r="F26" s="1">
        <v>0</v>
      </c>
      <c r="G26" s="1">
        <v>5</v>
      </c>
      <c r="H26" t="s">
        <v>20</v>
      </c>
      <c r="I26" s="1">
        <v>-2</v>
      </c>
      <c r="J26" s="1">
        <v>2</v>
      </c>
      <c r="K26" t="s">
        <v>20</v>
      </c>
      <c r="L26" s="1">
        <v>2</v>
      </c>
      <c r="M26" s="1">
        <v>-5</v>
      </c>
      <c r="N26" t="s">
        <v>20</v>
      </c>
      <c r="O26" s="1">
        <v>-1</v>
      </c>
      <c r="P26" s="1">
        <v>-5</v>
      </c>
      <c r="Q26" t="s">
        <v>20</v>
      </c>
      <c r="R26" s="1">
        <v>1</v>
      </c>
      <c r="S26" s="1">
        <v>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B436-89EF-4BE3-ABFB-8C62D7BD9964}">
  <dimension ref="A1"/>
  <sheetViews>
    <sheetView workbookViewId="0">
      <selection activeCell="F28" sqref="F28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F426-748B-402E-97A7-359EEF2BD05C}">
  <dimension ref="A1"/>
  <sheetViews>
    <sheetView tabSelected="1" workbookViewId="0">
      <selection activeCell="M20" sqref="M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embedding</vt:lpstr>
      <vt:lpstr>extracting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Muzayyin Amrulloh</dc:creator>
  <cp:lastModifiedBy>Muzayyin Amrulloh</cp:lastModifiedBy>
  <dcterms:created xsi:type="dcterms:W3CDTF">2015-06-05T18:17:20Z</dcterms:created>
  <dcterms:modified xsi:type="dcterms:W3CDTF">2026-04-16T04:30:20Z</dcterms:modified>
</cp:coreProperties>
</file>